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/Users/jakubfelinski/Pulpit/"/>
    </mc:Choice>
  </mc:AlternateContent>
  <xr:revisionPtr revIDLastSave="0" documentId="13_ncr:1_{43A253C7-7F05-AC42-9D48-4477F3234F6E}" xr6:coauthVersionLast="47" xr6:coauthVersionMax="47" xr10:uidLastSave="{00000000-0000-0000-0000-000000000000}"/>
  <bookViews>
    <workbookView xWindow="1400" yWindow="1420" windowWidth="27840" windowHeight="16740" xr2:uid="{10364F06-23C7-0E46-A286-3134983B32D4}"/>
  </bookViews>
  <sheets>
    <sheet name="Arkusz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 a="1"/>
  <c r="F6" i="1" a="1"/>
  <c r="F4" i="1" a="1"/>
  <c r="F5" i="1" a="1"/>
  <c r="E3" i="1" a="1"/>
  <c r="E6" i="1" a="1"/>
  <c r="E5" i="1" a="1"/>
  <c r="E4" i="1" a="1"/>
  <c r="F2" i="1" a="1"/>
  <c r="E2" i="1" a="1"/>
  <c r="D3" i="1" a="1"/>
  <c r="D5" i="1" a="1"/>
  <c r="D4" i="1" a="1"/>
  <c r="D6" i="1" a="1"/>
  <c r="D2" i="1" a="1"/>
  <c r="F5" i="1" l="1"/>
  <c r="F4" i="1"/>
  <c r="F6" i="1"/>
  <c r="F3" i="1"/>
  <c r="E4" i="1"/>
  <c r="E5" i="1"/>
  <c r="E6" i="1"/>
  <c r="E3" i="1"/>
  <c r="F2" i="1"/>
  <c r="E2" i="1"/>
  <c r="D6" i="1"/>
  <c r="D4" i="1"/>
  <c r="D5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<sst xmlns="http://schemas.openxmlformats.org/spreadsheetml/2006/main" count="13" uniqueCount="13">
  <si>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Wiek (x)</t>
  </si>
  <si>
    <t>Parametr ax​</t>
  </si>
  <si>
    <t>Parametr bx​</t>
  </si>
  <si>
    <t>Trend kt1​ (Rok 1) = 12,5</t>
  </si>
  <si>
    <t>Trend kt2​ (Rok 2) = 0,0</t>
  </si>
  <si>
    <t>Trend kt3​ (Rok 3) = -12,5</t>
  </si>
  <si>
    <t>0-4</t>
  </si>
  <si>
    <t>20-24</t>
  </si>
  <si>
    <t>40-44</t>
  </si>
  <si>
    <t>60-64</t>
  </si>
  <si>
    <t>80-84</t>
  </si>
  <si>
    <t>Wnioski:</t>
  </si>
  <si>
    <r>
      <t>Dla Roku 1 (wysoka umieralność, k</t>
    </r>
    <r>
      <rPr>
        <vertAlign val="subscript"/>
        <sz val="14"/>
        <color theme="1"/>
        <rFont val="Aptos Narrow (Tekst podstawowy)"/>
        <charset val="238"/>
      </rPr>
      <t>t</t>
    </r>
    <r>
      <rPr>
        <sz val="14"/>
        <color theme="1"/>
        <rFont val="Aptos Narrow"/>
        <family val="2"/>
        <charset val="238"/>
        <scheme val="minor"/>
      </rPr>
      <t xml:space="preserve"> = 12,5): Wyniki będą najwyższe. Dla wieku 0-4 otrzymasz około 0,0107, a dla najstarszych (80-84) około 0,2288.  Dla Roku 2 (średnia umieralność, kt = 0,0): Ponieważ b</t>
    </r>
    <r>
      <rPr>
        <vertAlign val="subscript"/>
        <sz val="14"/>
        <color theme="1"/>
        <rFont val="Aptos Narrow (Tekst podstawowy)"/>
        <charset val="238"/>
      </rPr>
      <t>x</t>
    </r>
    <r>
      <rPr>
        <sz val="14"/>
        <color theme="1"/>
        <rFont val="Aptos Narrow"/>
        <family val="2"/>
        <charset val="238"/>
        <scheme val="minor"/>
      </rPr>
      <t xml:space="preserve"> * 0 = 0, funkcja obliczy po prostu e</t>
    </r>
    <r>
      <rPr>
        <vertAlign val="superscript"/>
        <sz val="14"/>
        <color theme="1"/>
        <rFont val="Aptos Narrow (Tekst podstawowy)"/>
        <charset val="238"/>
      </rPr>
      <t>a</t>
    </r>
    <r>
      <rPr>
        <vertAlign val="superscript"/>
        <sz val="12"/>
        <color theme="1"/>
        <rFont val="Aptos Narrow (Tekst podstawowy)"/>
        <charset val="238"/>
      </rPr>
      <t>x</t>
    </r>
    <r>
      <rPr>
        <sz val="14"/>
        <color theme="1"/>
        <rFont val="Aptos Narrow"/>
        <family val="2"/>
        <charset val="238"/>
        <scheme val="minor"/>
      </rPr>
      <t>. Dla najmłodszych wyjdzie około 0,0047, dla najstarszych 0,1423.  Dla Roku 3 (niska umieralność z przyszłości, k</t>
    </r>
    <r>
      <rPr>
        <vertAlign val="subscript"/>
        <sz val="14"/>
        <color theme="1"/>
        <rFont val="Aptos Narrow (Tekst podstawowy)"/>
        <charset val="238"/>
      </rPr>
      <t xml:space="preserve">t </t>
    </r>
    <r>
      <rPr>
        <sz val="14"/>
        <color theme="1"/>
        <rFont val="Aptos Narrow"/>
        <family val="2"/>
        <charset val="238"/>
        <scheme val="minor"/>
      </rPr>
      <t>= -12,5): Wyniki będą najniższe, co pokazuje postęp medycyny. Dla wieku 0-4 umieralność spadnie do około 0,0021, a dla wieku 80-84 do 0,0885.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</si>
</sst>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charset val="238"/>
      <scheme val="minor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vertAlign val="subscript"/>
      <sz val="14"/>
      <color theme="1"/>
      <name val="Aptos Narrow (Tekst podstawowy)"/>
      <charset val="238"/>
    </font>
    <font>
      <sz val="14"/>
      <color theme="1"/>
      <name val="Aptos Narrow"/>
      <family val="2"/>
      <charset val="238"/>
      <scheme val="minor"/>
    </font>
    <font>
      <vertAlign val="superscript"/>
      <sz val="14"/>
      <color theme="1"/>
      <name val="Aptos Narrow (Tekst podstawowy)"/>
      <charset val="238"/>
    </font>
    <font>
      <vertAlign val="superscript"/>
      <sz val="12"/>
      <color theme="1"/>
      <name val="Aptos Narrow (Tekst podstawowy)"/>
      <charset val="238"/>
    </font>
    <font>
      <sz val="14"/>
      <color theme="1"/>
      <name val="Aptos Narrow (Tekst podstawowy)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 wrapText="1"/>
    </xf>
    <xf numFmtId="0" fontId="4" fillId="0" borderId="0" xfId="0" applyFont="1" applyAlignment="1">
      <alignment horizontal="center" wrapText="1"/>
    </xf>
    <xf numFmtId="0" fontId="7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520B7-A644-ED47-A9E3-1F24C758BF21}">
  <sheetPr codeName="Arkusz1"/>
  <dimension ref="A1:L11"/>
  <sheetViews>
    <sheetView tabSelected="1" workbookViewId="0">
      <selection activeCell="D14" sqref="D14"/>
    </sheetView>
  </sheetViews>
  <sheetFormatPr baseColWidth="10" defaultRowHeight="16" x14ac:dyDescent="0.2"/>
  <cols>
    <col min="1" max="1" width="8.83203125" bestFit="1" customWidth="1"/>
    <col min="2" max="3" width="12.6640625" bestFit="1" customWidth="1"/>
    <col min="4" max="4" width="24" bestFit="1" customWidth="1"/>
    <col min="5" max="5" width="22.83203125" bestFit="1" customWidth="1"/>
    <col min="6" max="6" width="24.6640625" bestFit="1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12" x14ac:dyDescent="0.2">
      <c r="A2" s="1" t="s">
        <v>6</v>
      </c>
      <c r="B2" s="2">
        <v>-5.35</v>
      </c>
      <c r="C2" s="2">
        <v>6.5000000000000002E-2</v>
      </c>
      <c r="D2" s="2" cm="1">
        <f t="array" ref="D2">LeeCarter(B2,C2,12.5)</f>
        <v>1.0700123452114928E-2</v>
      </c>
      <c r="E2" s="2" cm="1">
        <f t="array" ref="E2">LeeCarter(C2,D2,0)</f>
        <v>1.0671590243841926</v>
      </c>
      <c r="F2" s="2" cm="1">
        <f t="array" ref="F2">LeeCarter(D2,E2,-12.5)</f>
        <v>1.6269756738913664E-6</v>
      </c>
    </row>
    <row r="3" spans="1:12" x14ac:dyDescent="0.2">
      <c r="A3" s="1" t="s">
        <v>7</v>
      </c>
      <c r="B3" s="2">
        <v>-5.62</v>
      </c>
      <c r="C3" s="2">
        <v>4.2000000000000003E-2</v>
      </c>
      <c r="D3" s="2" cm="1">
        <f t="array" ref="D3">LeeCarter(B3,C3,12.5)</f>
        <v>6.1273066348497664E-3</v>
      </c>
      <c r="E3" s="2" cm="1">
        <f t="array" ref="E3">LeeCarter(C3,D3,0)</f>
        <v>1.0428944787507632</v>
      </c>
      <c r="F3" s="2" cm="1">
        <f t="array" ref="F3">LeeCarter(D3,E3,-12.5)</f>
        <v>2.1934088369426036E-6</v>
      </c>
    </row>
    <row r="4" spans="1:12" x14ac:dyDescent="0.2">
      <c r="A4" s="1" t="s">
        <v>8</v>
      </c>
      <c r="B4" s="2">
        <v>-4.71</v>
      </c>
      <c r="C4" s="2">
        <v>4.8000000000000001E-2</v>
      </c>
      <c r="D4" s="2" cm="1">
        <f t="array" ref="D4">LeeCarter(B4,C4,12.5)</f>
        <v>1.6407774526292645E-2</v>
      </c>
      <c r="E4" s="2" cm="1">
        <f t="array" ref="E4">LeeCarter(C4,D4,0)</f>
        <v>1.0491706553244706</v>
      </c>
      <c r="F4" s="2" cm="1">
        <f t="array" ref="F4">LeeCarter(D4,E4,-12.5)</f>
        <v>2.0488632782297174E-6</v>
      </c>
    </row>
    <row r="5" spans="1:12" x14ac:dyDescent="0.2">
      <c r="A5" s="1" t="s">
        <v>9</v>
      </c>
      <c r="B5" s="2">
        <v>-3.31</v>
      </c>
      <c r="C5" s="2">
        <v>5.5E-2</v>
      </c>
      <c r="D5" s="2" cm="1">
        <f t="array" ref="D5">LeeCarter(B5,C5,12.5)</f>
        <v>7.2621082989840977E-2</v>
      </c>
      <c r="E5" s="2" cm="1">
        <f t="array" ref="E5">LeeCarter(C5,D5,0)</f>
        <v>1.0565406146754943</v>
      </c>
      <c r="F5" s="2" cm="1">
        <f t="array" ref="F5">LeeCarter(D5,E5,-12.5)</f>
        <v>1.9765916203218614E-6</v>
      </c>
    </row>
    <row r="6" spans="1:12" x14ac:dyDescent="0.2">
      <c r="A6" s="1" t="s">
        <v>10</v>
      </c>
      <c r="B6" s="2">
        <v>-1.95</v>
      </c>
      <c r="C6" s="2">
        <v>3.7999999999999999E-2</v>
      </c>
      <c r="D6" s="2" cm="1">
        <f t="array" ref="D6">LeeCarter(B6,C6,12.5)</f>
        <v>0.22877872704522242</v>
      </c>
      <c r="E6" s="2" cm="1">
        <f t="array" ref="E6">LeeCarter(C6,D6,0)</f>
        <v>1.0387312328784977</v>
      </c>
      <c r="F6" s="2" cm="1">
        <f t="array" ref="F6">LeeCarter(D6,E6,-12.5)</f>
        <v>2.8868007269318238E-6</v>
      </c>
    </row>
    <row r="10" spans="1:12" ht="19" x14ac:dyDescent="0.25">
      <c r="H10" s="5" t="s">
        <v>11</v>
      </c>
    </row>
    <row r="11" spans="1:12" ht="208" customHeight="1" x14ac:dyDescent="0.25">
      <c r="H11" s="4" t="s">
        <v>12</v>
      </c>
      <c r="I11" s="3"/>
      <c r="J11" s="3"/>
      <c r="K11" s="3"/>
      <c r="L11" s="3"/>
    </row>
  </sheetData>
  <mergeCells count="1">
    <mergeCell ref="H11:L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Miłosz Feliński</dc:creator>
  <cp:lastModifiedBy>Jakub Miłosz Feliński</cp:lastModifiedBy>
  <dcterms:created xsi:type="dcterms:W3CDTF">2026-07-03T01:01:14Z</dcterms:created>
  <dcterms:modified xsi:type="dcterms:W3CDTF">2026-07-03T01:13:30Z</dcterms:modified>
</cp:coreProperties>
</file>